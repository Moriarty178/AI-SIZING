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T42Keangnam\TTCNTT T42\sizing\20043\"/>
    </mc:Choice>
  </mc:AlternateContent>
  <bookViews>
    <workbookView xWindow="0" yWindow="0" windowWidth="24000" windowHeight="8880" tabRatio="500" firstSheet="2" activeTab="4"/>
  </bookViews>
  <sheets>
    <sheet name="Index" sheetId="1" state="hidden" r:id="rId1"/>
    <sheet name="Mô hình" sheetId="2" state="hidden" r:id="rId2"/>
    <sheet name="Index_" sheetId="3" r:id="rId3"/>
    <sheet name="Mo hinh" sheetId="4" r:id="rId4"/>
    <sheet name="server ảo hóa" sheetId="5" r:id="rId5"/>
    <sheet name="server vật lý" sheetId="6" r:id="rId6"/>
    <sheet name="Server ao hoa" sheetId="7" state="hidden" r:id="rId7"/>
    <sheet name="Cài đặt server" sheetId="8" state="hidden" r:id="rId8"/>
  </sheets>
  <calcPr calcId="162913"/>
</workbook>
</file>

<file path=xl/calcChain.xml><?xml version="1.0" encoding="utf-8"?>
<calcChain xmlns="http://schemas.openxmlformats.org/spreadsheetml/2006/main">
  <c r="A9" i="8" l="1"/>
  <c r="A7" i="8"/>
  <c r="A6" i="8"/>
  <c r="A4" i="8"/>
</calcChain>
</file>

<file path=xl/sharedStrings.xml><?xml version="1.0" encoding="utf-8"?>
<sst xmlns="http://schemas.openxmlformats.org/spreadsheetml/2006/main" count="229" uniqueCount="117">
  <si>
    <t>1. Tổng quan hệ thống (*)</t>
  </si>
  <si>
    <t>STT</t>
  </si>
  <si>
    <t>Hạng mục</t>
  </si>
  <si>
    <t xml:space="preserve">Thông tin yêu cầu </t>
  </si>
  <si>
    <t>Tổng quan hệ thống</t>
  </si>
  <si>
    <t xml:space="preserve">Hệ thống Chatbot mBCCS là phần mềm trợ lý ảo hỗ trợ nhân viên thuộc các kênh của Viettel Telecom tra cứu, thực hiện các nghiệp vụ trên các nhóm thông tin:
• Nhóm thông tin về phí bán hàng
• Nhóm thông tin về quy trình nghiệp vụ của tất cả 6 kênh
• Nhóm thông tin về hành vi tiêu dùng của khách hàng và các chính sách
• Thông tin về chương trình khuyến mại và gói cước cho từng khách hàng
• Nhóm thông tin liên quan đến xử lý báo hỏng 
</t>
  </si>
  <si>
    <t>Các module và chức năng</t>
  </si>
  <si>
    <r>
      <rPr>
        <sz val="10"/>
        <color rgb="FF000000"/>
        <rFont val="Times New Roman"/>
        <family val="1"/>
      </rPr>
      <t xml:space="preserve">- Cụm Bot Gateway: Là Gateway giao tiếp từ chat client vào hệ thống chatbot
- Cụm Business Adapter: Là trung gian giao tiếp của hệ thống bot với các hệ thống Backend của Viettel để lấy thông tin phục vụ cho chatbot trả lời các câu hỏi.
</t>
    </r>
    <r>
      <rPr>
        <sz val="10"/>
        <color rgb="FFFF0000"/>
        <rFont val="Times New Roman"/>
        <family val="1"/>
      </rPr>
      <t xml:space="preserve">- Cụm Platform của Bot Core: [Anh BachPX3 điền giúp em chức năng nhiệm vụ]
- Cụm Engine của Bot Core:  [Anh BachPX3 điền giúp em chức năng nhiệm vụ]
</t>
    </r>
    <r>
      <rPr>
        <sz val="10"/>
        <color rgb="FF000000"/>
        <rFont val="Times New Roman"/>
        <family val="1"/>
      </rPr>
      <t xml:space="preserve">- Cụm Database MariaDB: Lưu trữ dữ liệu của hệ thống Core AI và hệ thống Bot Gateway + Business Adapter
- Cụm Elasticsearch/ELK/ShareHDD/Redis: Cài đặt Elastisearch, redis, ShareHDD để lưu model của core AI và các file dùng chung khác
</t>
    </r>
  </si>
  <si>
    <t>4. Mô hình đấu nối hệ thống (*)</t>
  </si>
  <si>
    <t>Giải pháp/công nghệ đặc thù (option)</t>
  </si>
  <si>
    <t>3. Chi tiết cài đặt máy chủ ảo hóa (*)</t>
  </si>
  <si>
    <t>Tên dự án</t>
  </si>
  <si>
    <t>Module</t>
  </si>
  <si>
    <t>Cấu hình</t>
  </si>
  <si>
    <t>Hostname</t>
  </si>
  <si>
    <t>Số lượng server</t>
  </si>
  <si>
    <t>IP</t>
  </si>
  <si>
    <t>Loại OS</t>
  </si>
  <si>
    <t>Account</t>
  </si>
  <si>
    <t>Phân vùng cài đặt</t>
  </si>
  <si>
    <t>Thư viện, Môi trường yêu cầu đặc biệt</t>
  </si>
  <si>
    <t>Phần mềm cài thêm</t>
  </si>
  <si>
    <t>Nhu cầu kết nối internet (Mục đích: Quy hoạch zone mạng)</t>
  </si>
  <si>
    <t>Các nền tảng sử dụng (Mục đích: quy hoạch tài nguyên RAM, Disk)</t>
  </si>
  <si>
    <t>Ghi chú</t>
  </si>
  <si>
    <t>DCN</t>
  </si>
  <si>
    <t>MPBN</t>
  </si>
  <si>
    <t>Public</t>
  </si>
  <si>
    <t>Zone (Pri/Pub)</t>
  </si>
  <si>
    <t>LB (yes/no)</t>
  </si>
  <si>
    <t>Nền tảng sử dụng trên server</t>
  </si>
  <si>
    <t xml:space="preserve">minimum IOPS </t>
  </si>
  <si>
    <t>maximum Disk latency</t>
  </si>
  <si>
    <t>CentOS 7.6</t>
  </si>
  <si>
    <t xml:space="preserve">Thay đổi maxopen file (300000) và max process (100000)
Thay đổi cấu hình /etc/host liệt kê danh sách theo dạng ip host_name của tất cả các server trong hệ thống
</t>
  </si>
  <si>
    <t>Pri</t>
  </si>
  <si>
    <t>yes</t>
  </si>
  <si>
    <t>NA</t>
  </si>
  <si>
    <t>default</t>
  </si>
  <si>
    <t>4. Chi tiết cài đặt máy chủ vật lý (*)</t>
  </si>
  <si>
    <t>3. Chi tiết cài đặt máy chủ (*)</t>
  </si>
  <si>
    <t>Campaign</t>
  </si>
  <si>
    <t>Module ETL Master, ETL Slaves, ETL monitor,  Apache Storm, Cụm Kafka, Zookeeper</t>
  </si>
  <si>
    <t>CPU=2xXeon gold 5220  RAM =64GBx4 HDD= 600GB X 2 SAS 10Krpm</t>
  </si>
  <si>
    <t>vbn-lta-01
vbn-lta-02</t>
  </si>
  <si>
    <t>app_vbn</t>
  </si>
  <si>
    <t xml:space="preserve">/ 100G
/home  191G
/(root) 50G
/boot 1G
/run 4G
/dev/shm 4G </t>
  </si>
  <si>
    <t>- JDK 1.8
- Nhóm package để phát triển "Development tools"
yum groupinstall "Development tools"
- Python 3</t>
  </si>
  <si>
    <r>
      <rPr>
        <sz val="14"/>
        <color rgb="FF000000"/>
        <rFont val="Times New Roman"/>
        <family val="1"/>
      </rPr>
      <t xml:space="preserve">Phụ lục 01
</t>
    </r>
    <r>
      <rPr>
        <sz val="13"/>
        <color rgb="FF000000"/>
        <rFont val="Times New Roman"/>
        <family val="1"/>
      </rPr>
      <t>HỒ SƠ THIẾT KẾ TRIỂN KHAI HỆ THỐNG CHATBOT</t>
    </r>
  </si>
  <si>
    <t>A.</t>
  </si>
  <si>
    <t>Quy hoạch cấp phát tài nguyên</t>
  </si>
  <si>
    <t>Phân hệ</t>
  </si>
  <si>
    <t>Số lượng</t>
  </si>
  <si>
    <t>Triển khai LB cứng</t>
  </si>
  <si>
    <t>Bot Gateway</t>
  </si>
  <si>
    <t>CPU=320 Cint/48 GB RAM/1032 GB dung lượng</t>
  </si>
  <si>
    <t>LB cứng</t>
  </si>
  <si>
    <t>LB kết nối cả Public và nội bộ</t>
  </si>
  <si>
    <t>Redis BotGateway &amp; shared file</t>
  </si>
  <si>
    <t>CPU=320 Cint/64 GB RAM/1084 GB dung lượng + 1,6 TB shared HDD /3 server</t>
  </si>
  <si>
    <t>Bot Core</t>
  </si>
  <si>
    <t xml:space="preserve">CPU=320 Cint/48 GB RAM/1031 GB dung lượng + 502 GB shared  HDD /4 server
</t>
  </si>
  <si>
    <t>LB nội bộ</t>
  </si>
  <si>
    <t>Business Adapter</t>
  </si>
  <si>
    <t>CPU=320 Cint/48 GB RAM/1547 GB dung lượng</t>
  </si>
  <si>
    <t>ELK Stack &amp; Redis botcore</t>
  </si>
  <si>
    <t>CPU=596 Cint/48 GB RAM/1203 GB dung lượng</t>
  </si>
  <si>
    <t>Database MariaDB</t>
  </si>
  <si>
    <t>CPU=440 Cint/64 GB RAM/1029 TB dung lượng</t>
  </si>
  <si>
    <t>B.</t>
  </si>
  <si>
    <t>Hồ sơ thiết kế chi tiết</t>
  </si>
  <si>
    <t>Dự án</t>
  </si>
  <si>
    <t>LB</t>
  </si>
  <si>
    <t>Chatbot MyVT</t>
  </si>
  <si>
    <t>chatbot_gateway1
chatbot_gateway2
chatbot_gateway3</t>
  </si>
  <si>
    <t>chatbot</t>
  </si>
  <si>
    <t>CentOS 7.2.1511</t>
  </si>
  <si>
    <t>/ 50G
/boot 512M
/var 20G
swap 128GB
/u01 500GB
/u02 500GB</t>
  </si>
  <si>
    <t>- JDK 1.8
- Nhóm package để phát triển "Development tools"
yum groupinstall "Development tools"
- nagios client, nrpe plugin
- telnet,traceroute,tracetcp,wget
- fpt client, fpt server
- gcc</t>
  </si>
  <si>
    <t>Redis BotGateway, shared file</t>
  </si>
  <si>
    <t>chatbot_file1
chatbot_file2
chatbot_file3</t>
  </si>
  <si>
    <t>/ 50G
/boot 512M
/var 20G
swap 128GB
/u01  500GB
/u02 500GB
/u03 1600 GB shared HDD</t>
  </si>
  <si>
    <t>Thay đổi maxopen file (300000) và max process (100000)
Thay đổi cấu hình /etc/host liệt kê danh sách theo dạng ip host_name của tất cả các server trong hệ thống
/u03 là shared HDD cho 3 server</t>
  </si>
  <si>
    <t>chatbot_core1
chatbot_core2
chatbot_core3
chatbot_core4</t>
  </si>
  <si>
    <t>/ 50G
/boot 512M
/var 20G
swap 128GB
/u01  500GB
/u02 500GB
/u03 500 GB shared HDD</t>
  </si>
  <si>
    <t>Thay đổi maxopen file (300000) và max process (100000)
Thay đổi cấu hình /etc/host liệt kê danh sách theo dạng ip host_name của tất cả các server trong hệ thống
/u03 là shared HDD cho 4 server</t>
  </si>
  <si>
    <t>business_adapter1
business_adapter2
business_adapter3</t>
  </si>
  <si>
    <t>/ 50G
/boot 512M
/var 20G
swap 128GB
/u01  650GB
/u02 650GB</t>
  </si>
  <si>
    <t>Elasticsearch/ELK/Redis</t>
  </si>
  <si>
    <t>chatbot_elastic1
chatbot_elastic2
chatbot_elastic3</t>
  </si>
  <si>
    <t>/ 50G
/boot 512M
/var 20G
swap 128GB
/u01  500GB
/u02 500GB
/u03 500GB</t>
  </si>
  <si>
    <t>1. Thay đổi maxopen file (300000) và max process (100000)
Set nofile là 300000 cho user
[user] soft  Set nofile là 300000 cho user
[user] nofile   300000
[user] hard  nofile   200000
Set nproc là 100000
[user] soft    nproc   200000
[user] hard    nproc   200000
2. Tạo các phân vùng ổ cứng khác nhau để cài riêng biệt ứng dụng Elastisearch/ELK, Redis
3. Thay đổi cấu hình /etc/host liệt kê danh sách theo dạng ip host_name của tất cả các server trong hệ thống</t>
  </si>
  <si>
    <t>chatbot_db1
chatbot_db2
chatbot_db3</t>
  </si>
  <si>
    <t>/ 50G
/boot 512M
/var 20G
swap 128GB
/u01  1000GB</t>
  </si>
  <si>
    <t>Thay đổi maxopen file (300000) và max process (100000)
Thay đổi cấu hình /etc/host liệt kê danh sách theo dạng ip host_name của tất cả các server trong hệ thống
Cài MariaDB 10.3.10</t>
  </si>
  <si>
    <t>no</t>
  </si>
  <si>
    <t>Mô tả</t>
  </si>
  <si>
    <t>2.1  Mô hình Vật lý hệ thống</t>
  </si>
  <si>
    <t>- CPU &gt;= 24vcpu
- RAM (GB)&gt;= 64G</t>
  </si>
  <si>
    <t xml:space="preserve">- CPU (Cint)&gt;= 16vcpu
- RAM (GB)&gt;= 32G
</t>
  </si>
  <si>
    <t>2.2 Mô hình tổng quan hệ thống</t>
  </si>
  <si>
    <t>&gt; 5kIOPS</t>
  </si>
  <si>
    <t>&gt; 5KIOPS</t>
  </si>
  <si>
    <t>- Giá trị đọc ghi ổ cứng &gt;  5 KIOPS '</t>
  </si>
  <si>
    <t>Hệ thống PBH 4.0 là hệ thống tính phí hoa hồng cho các chương trình, dịch vụ và các kênh phân phối bán hàng của Tập đoàn Công nghiêp - Viễn Thông Quân đội Viettel.
Hệ thống cho phép khai báo khoản mục , điểu kiện hưởng phí để tính phí hoa hồng cho các kênh phân phối.</t>
  </si>
  <si>
    <t>CentOS Stream 9</t>
  </si>
  <si>
    <t>pbh-calc-01</t>
  </si>
  <si>
    <t>PBH4.0</t>
  </si>
  <si>
    <t>HỒ SƠ THIẾT KẾ TRIỂN KHAI MỚI HỆ THỐNG PBH 4.0</t>
  </si>
  <si>
    <t>1. Tổng quan hệ thống PBH 4.0</t>
  </si>
  <si>
    <t>pbh-stogage
(Cụm máy chủ lưu trữ dữ liệu)</t>
  </si>
  <si>
    <t>/os 60G
/data  2T</t>
  </si>
  <si>
    <t xml:space="preserve">/os 60G
/data  350 GB (SAN)  </t>
  </si>
  <si>
    <t>=</t>
  </si>
  <si>
    <t>pbh-storage-01</t>
  </si>
  <si>
    <t>pbh-calc
(Cụm máy chủ xử lý dữ liêu)</t>
  </si>
  <si>
    <t xml:space="preserve">- Giá trị đọc ghi ổ cứng &gt;  5 KIOPS 
- Không fomat ổ đia để cài Ceph, 
- Chia làm 3 dish khác nhau để tránh rủi ro khi ổ đĩa có vấn đề (nếu đã có đảm bảo được cơ chế dự phòng thì không cần chia)
- Nếu không có s3 thì cấp san thay thế.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</si>
</sst>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1"/>
      <color rgb="FF000000"/>
      <name val="Calibri"/>
      <charset val="134"/>
    </font>
    <font>
      <sz val="11"/>
      <color theme="1"/>
      <name val="Calibri"/>
      <family val="2"/>
      <scheme val="minor"/>
    </font>
    <font>
      <sz val="11"/>
      <color theme="1"/>
      <name val="Calibri"/>
      <family val="2"/>
      <scheme val="minor"/>
    </font>
    <font>
      <sz val="14"/>
      <color rgb="FF000000"/>
      <name val="Times New Roman"/>
      <family val="1"/>
    </font>
    <font>
      <b/>
      <sz val="10"/>
      <color rgb="FF000000"/>
      <name val="Times New Roman"/>
      <family val="1"/>
    </font>
    <font>
      <sz val="10"/>
      <color rgb="FF000000"/>
      <name val="Times New Roman"/>
      <family val="1"/>
    </font>
    <font>
      <sz val="10"/>
      <color rgb="FFFF0000"/>
      <name val="Times New Roman"/>
      <family val="1"/>
    </font>
    <font>
      <sz val="11"/>
      <name val="Calibri"/>
      <family val="2"/>
    </font>
    <font>
      <sz val="12"/>
      <color rgb="FF000000"/>
      <name val="Times New Roman"/>
      <family val="1"/>
    </font>
    <font>
      <sz val="10"/>
      <name val="Times New Roman"/>
      <family val="1"/>
    </font>
    <font>
      <b/>
      <sz val="10"/>
      <name val="Times New Roman"/>
      <family val="1"/>
    </font>
    <font>
      <sz val="11"/>
      <color rgb="FF000000"/>
      <name val="Times New Roman"/>
      <family val="1"/>
    </font>
    <font>
      <sz val="13"/>
      <color rgb="FF000000"/>
      <name val="Times New Roman"/>
      <family val="1"/>
    </font>
    <font>
      <b/>
      <sz val="13"/>
      <color rgb="FF000000"/>
      <name val="Times New Roman"/>
      <family val="1"/>
    </font>
    <font>
      <b/>
      <sz val="11"/>
      <color rgb="FF000000"/>
      <name val="Times New Roman"/>
      <family val="1"/>
    </font>
    <font>
      <b/>
      <sz val="11"/>
      <color rgb="FFFF0000"/>
      <name val="Times New Roman"/>
      <family val="1"/>
    </font>
    <font>
      <sz val="11"/>
      <color rgb="FF000000"/>
      <name val="Calibri"/>
      <family val="2"/>
    </font>
    <font>
      <sz val="10"/>
      <name val="Times New Roman"/>
      <family val="1"/>
    </font>
    <font>
      <sz val="11"/>
      <color rgb="FF000000"/>
      <name val="Calibri"/>
      <family val="2"/>
    </font>
    <font>
      <b/>
      <sz val="11"/>
      <color theme="1"/>
      <name val="Calibri"/>
      <family val="2"/>
      <scheme val="minor"/>
    </font>
    <font>
      <b/>
      <sz val="13"/>
      <color theme="1"/>
      <name val="Times New Roman"/>
      <family val="1"/>
    </font>
    <font>
      <sz val="10"/>
      <color theme="1"/>
      <name val="Times New Roman"/>
      <family val="1"/>
    </font>
    <font>
      <b/>
      <sz val="12"/>
      <color theme="1"/>
      <name val="Times New Roman"/>
      <family val="1"/>
    </font>
    <font>
      <sz val="12"/>
      <color theme="1"/>
      <name val="Times New Roman"/>
      <family val="1"/>
    </font>
    <font>
      <sz val="13"/>
      <color theme="1"/>
      <name val="Times New Roman"/>
      <family val="1"/>
    </font>
    <font>
      <sz val="11"/>
      <color theme="1"/>
      <name val="Times New Roman"/>
      <family val="1"/>
    </font>
  </fonts>
  <fills count="5">
    <fill>
      <patternFill patternType="none"/>
    </fill>
    <fill>
      <patternFill patternType="gray125"/>
    </fill>
    <fill>
      <patternFill patternType="solid">
        <fgColor rgb="FFFFFF00"/>
        <bgColor rgb="FFFFFF00"/>
      </patternFill>
    </fill>
    <fill>
      <patternFill patternType="solid">
        <fgColor rgb="FFFFFFFF"/>
        <bgColor rgb="FFFFFFCC"/>
      </patternFill>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6" fillId="0" borderId="0"/>
    <xf numFmtId="0" fontId="2" fillId="0" borderId="0"/>
    <xf numFmtId="0" fontId="1" fillId="0" borderId="0"/>
    <xf numFmtId="0" fontId="18" fillId="0" borderId="0"/>
    <xf numFmtId="0" fontId="18" fillId="0" borderId="0"/>
    <xf numFmtId="0" fontId="16" fillId="0" borderId="0">
      <alignment vertical="center"/>
    </xf>
  </cellStyleXfs>
  <cellXfs count="127">
    <xf numFmtId="0" fontId="0" fillId="0" borderId="0" xfId="0"/>
    <xf numFmtId="0" fontId="0" fillId="0" borderId="1" xfId="0" applyFont="1" applyBorder="1"/>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4" fillId="2" borderId="0" xfId="1" applyFont="1" applyFill="1" applyAlignment="1">
      <alignment horizontal="center" vertical="top" wrapText="1"/>
    </xf>
    <xf numFmtId="0" fontId="4" fillId="0" borderId="1" xfId="1" applyFont="1" applyBorder="1" applyAlignment="1">
      <alignment horizontal="center" vertical="top" wrapText="1"/>
    </xf>
    <xf numFmtId="0" fontId="5" fillId="0" borderId="1" xfId="1" applyFont="1" applyBorder="1" applyAlignment="1">
      <alignment horizontal="center" vertical="top" wrapText="1"/>
    </xf>
    <xf numFmtId="0" fontId="5" fillId="0" borderId="2" xfId="0" applyFont="1" applyBorder="1" applyAlignment="1">
      <alignment horizontal="justify" vertical="top"/>
    </xf>
    <xf numFmtId="0" fontId="5" fillId="0" borderId="1" xfId="0" applyFont="1" applyBorder="1" applyAlignment="1">
      <alignment horizontal="left" vertical="top" wrapText="1"/>
    </xf>
    <xf numFmtId="0" fontId="5" fillId="0" borderId="1" xfId="0" applyFont="1" applyBorder="1" applyAlignment="1">
      <alignment horizontal="justify" vertical="top" wrapText="1"/>
    </xf>
    <xf numFmtId="0" fontId="5" fillId="0" borderId="1" xfId="0" applyFont="1" applyBorder="1" applyAlignment="1">
      <alignment horizontal="justify" vertical="top"/>
    </xf>
    <xf numFmtId="0" fontId="4" fillId="0" borderId="1" xfId="1" applyFont="1" applyBorder="1" applyAlignment="1">
      <alignment horizontal="left" vertical="top" wrapText="1"/>
    </xf>
    <xf numFmtId="0" fontId="4" fillId="0" borderId="1" xfId="0" applyFont="1" applyBorder="1" applyAlignment="1">
      <alignment horizontal="center" vertical="top"/>
    </xf>
    <xf numFmtId="0" fontId="4" fillId="0" borderId="2" xfId="0" applyFont="1" applyBorder="1" applyAlignment="1">
      <alignment horizontal="center" vertical="top" wrapText="1"/>
    </xf>
    <xf numFmtId="0" fontId="5" fillId="0" borderId="2" xfId="0" applyFont="1" applyBorder="1" applyAlignment="1">
      <alignment horizontal="justify" vertical="top" wrapText="1"/>
    </xf>
    <xf numFmtId="0" fontId="4" fillId="2" borderId="0" xfId="1" applyFont="1" applyFill="1" applyAlignment="1">
      <alignment vertical="top" wrapText="1"/>
    </xf>
    <xf numFmtId="0" fontId="4" fillId="0" borderId="3" xfId="1" applyFont="1" applyBorder="1" applyAlignment="1">
      <alignment horizontal="center" vertical="top" wrapText="1"/>
    </xf>
    <xf numFmtId="0" fontId="4" fillId="0" borderId="0" xfId="1" applyFont="1" applyBorder="1" applyAlignment="1">
      <alignment horizontal="center" vertical="top" wrapText="1"/>
    </xf>
    <xf numFmtId="0" fontId="4" fillId="0" borderId="0" xfId="1" applyFont="1" applyBorder="1" applyAlignment="1">
      <alignment horizontal="left" vertical="top" wrapText="1"/>
    </xf>
    <xf numFmtId="0" fontId="6" fillId="0" borderId="3" xfId="0" applyFont="1" applyBorder="1" applyAlignment="1">
      <alignment horizontal="center" vertical="top" wrapText="1"/>
    </xf>
    <xf numFmtId="0" fontId="6" fillId="0" borderId="1" xfId="1" applyFont="1" applyBorder="1" applyAlignment="1">
      <alignment horizontal="left" vertical="top" wrapText="1"/>
    </xf>
    <xf numFmtId="0" fontId="6" fillId="0" borderId="0" xfId="1" applyFont="1" applyBorder="1" applyAlignment="1">
      <alignment horizontal="left" vertical="top" wrapText="1"/>
    </xf>
    <xf numFmtId="0" fontId="4" fillId="0" borderId="3" xfId="1" applyFont="1" applyBorder="1" applyAlignment="1">
      <alignment horizontal="left" vertical="top" wrapText="1"/>
    </xf>
    <xf numFmtId="0" fontId="4" fillId="0" borderId="2" xfId="0" applyFont="1" applyBorder="1" applyAlignment="1">
      <alignment horizontal="center" vertical="top"/>
    </xf>
    <xf numFmtId="0" fontId="5" fillId="0" borderId="2" xfId="0" applyFont="1" applyBorder="1" applyAlignment="1">
      <alignment horizontal="left" vertical="top" wrapText="1"/>
    </xf>
    <xf numFmtId="0" fontId="4" fillId="0" borderId="0" xfId="1" applyFont="1" applyAlignment="1">
      <alignment horizontal="center" vertical="top" wrapText="1"/>
    </xf>
    <xf numFmtId="0" fontId="0" fillId="0" borderId="0" xfId="0" applyBorder="1"/>
    <xf numFmtId="0" fontId="0" fillId="0" borderId="4" xfId="0" applyBorder="1"/>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7" fillId="0" borderId="0" xfId="0" applyFont="1"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5" fillId="0" borderId="0" xfId="0" applyFont="1" applyAlignment="1">
      <alignment vertical="center"/>
    </xf>
    <xf numFmtId="0" fontId="5" fillId="0" borderId="1" xfId="0" applyFont="1" applyBorder="1" applyAlignment="1">
      <alignment horizontal="right" vertical="center"/>
    </xf>
    <xf numFmtId="0" fontId="9" fillId="0" borderId="0" xfId="0" applyFont="1" applyAlignment="1">
      <alignment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4" fillId="0" borderId="1" xfId="1" applyFont="1" applyBorder="1" applyAlignment="1">
      <alignment horizontal="center" vertical="center" wrapText="1"/>
    </xf>
    <xf numFmtId="0" fontId="5" fillId="0" borderId="1" xfId="1" applyFont="1" applyBorder="1" applyAlignment="1">
      <alignment horizontal="center" vertical="center"/>
    </xf>
    <xf numFmtId="0" fontId="9" fillId="0" borderId="1" xfId="1" applyFont="1" applyBorder="1" applyAlignment="1">
      <alignment horizontal="center" vertical="center" wrapText="1"/>
    </xf>
    <xf numFmtId="0" fontId="5" fillId="0" borderId="1" xfId="1" applyFont="1" applyBorder="1" applyAlignment="1">
      <alignment horizontal="center" vertical="center" wrapText="1"/>
    </xf>
    <xf numFmtId="0" fontId="4" fillId="3" borderId="6" xfId="0" applyFont="1" applyFill="1" applyBorder="1" applyAlignment="1">
      <alignment horizontal="center" vertical="top" wrapText="1"/>
    </xf>
    <xf numFmtId="0" fontId="4" fillId="3" borderId="1" xfId="1" applyFont="1" applyFill="1" applyBorder="1" applyAlignment="1">
      <alignment horizontal="center" vertical="top" wrapText="1"/>
    </xf>
    <xf numFmtId="0" fontId="0" fillId="0" borderId="0" xfId="0" applyAlignment="1">
      <alignment wrapText="1"/>
    </xf>
    <xf numFmtId="0" fontId="7" fillId="0" borderId="0" xfId="0" applyFont="1"/>
    <xf numFmtId="0" fontId="5" fillId="0" borderId="0" xfId="0" applyFont="1"/>
    <xf numFmtId="0" fontId="11" fillId="0" borderId="0" xfId="0" applyFont="1" applyAlignment="1">
      <alignment vertical="top"/>
    </xf>
    <xf numFmtId="0" fontId="5" fillId="0" borderId="1" xfId="0" applyFont="1" applyBorder="1" applyAlignment="1">
      <alignment horizontal="left" vertical="center"/>
    </xf>
    <xf numFmtId="0" fontId="5" fillId="0" borderId="0" xfId="0" applyFont="1" applyFill="1" applyAlignment="1">
      <alignment vertical="top" wrapText="1"/>
    </xf>
    <xf numFmtId="0" fontId="5" fillId="0" borderId="0" xfId="0" applyFont="1" applyFill="1" applyAlignment="1">
      <alignment vertical="top"/>
    </xf>
    <xf numFmtId="0" fontId="9" fillId="0" borderId="0" xfId="0" applyFont="1" applyFill="1" applyAlignment="1">
      <alignment vertical="top"/>
    </xf>
    <xf numFmtId="0" fontId="0" fillId="0" borderId="0" xfId="0" applyFill="1"/>
    <xf numFmtId="0" fontId="4" fillId="0" borderId="6" xfId="0" applyFont="1" applyFill="1" applyBorder="1" applyAlignment="1">
      <alignment horizontal="center" vertical="top" wrapText="1"/>
    </xf>
    <xf numFmtId="0" fontId="4" fillId="0" borderId="1" xfId="1" applyFont="1" applyFill="1" applyBorder="1" applyAlignment="1">
      <alignment horizontal="center" vertical="top" wrapText="1"/>
    </xf>
    <xf numFmtId="0" fontId="9"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9" fillId="0" borderId="1" xfId="0" quotePrefix="1" applyFont="1" applyFill="1" applyBorder="1" applyAlignment="1">
      <alignment horizontal="left" vertical="center" wrapText="1"/>
    </xf>
    <xf numFmtId="0" fontId="5" fillId="0" borderId="1" xfId="1" applyFont="1" applyFill="1" applyBorder="1" applyAlignment="1">
      <alignment horizontal="center" vertical="center"/>
    </xf>
    <xf numFmtId="0" fontId="9" fillId="0" borderId="1" xfId="1" applyFont="1" applyFill="1" applyBorder="1" applyAlignment="1">
      <alignment horizontal="center" vertical="center" wrapText="1"/>
    </xf>
    <xf numFmtId="0" fontId="5" fillId="0" borderId="1" xfId="1" applyFont="1" applyFill="1" applyBorder="1" applyAlignment="1">
      <alignment horizontal="center" vertical="center" wrapText="1"/>
    </xf>
    <xf numFmtId="3" fontId="17" fillId="0" borderId="1" xfId="2" applyNumberFormat="1" applyFont="1" applyFill="1" applyBorder="1" applyAlignment="1">
      <alignment horizontal="center" vertical="center" wrapText="1"/>
    </xf>
    <xf numFmtId="0" fontId="5" fillId="0" borderId="3" xfId="0" applyFont="1" applyFill="1" applyBorder="1" applyAlignment="1">
      <alignment horizontal="center" vertical="center"/>
    </xf>
    <xf numFmtId="0" fontId="11" fillId="0" borderId="1" xfId="0" applyFont="1" applyFill="1" applyBorder="1" applyAlignment="1">
      <alignment horizontal="left" vertical="center"/>
    </xf>
    <xf numFmtId="0" fontId="9" fillId="0" borderId="1" xfId="6" applyFont="1" applyBorder="1" applyAlignment="1">
      <alignment horizontal="center" vertical="center" wrapText="1"/>
    </xf>
    <xf numFmtId="0" fontId="9" fillId="0" borderId="1" xfId="6" quotePrefix="1" applyFont="1" applyBorder="1" applyAlignment="1">
      <alignment horizontal="left" vertical="center" wrapText="1"/>
    </xf>
    <xf numFmtId="0" fontId="9" fillId="0" borderId="1" xfId="6" applyFont="1" applyBorder="1" applyAlignment="1">
      <alignment horizontal="center" vertical="center"/>
    </xf>
    <xf numFmtId="0" fontId="9" fillId="0" borderId="1" xfId="6" applyFont="1" applyBorder="1" applyAlignment="1">
      <alignment vertical="center" wrapText="1"/>
    </xf>
    <xf numFmtId="0" fontId="0" fillId="0" borderId="1" xfId="0" applyBorder="1"/>
    <xf numFmtId="0" fontId="7" fillId="0" borderId="1" xfId="0" applyFont="1" applyBorder="1"/>
    <xf numFmtId="0" fontId="0" fillId="0" borderId="1" xfId="0" applyBorder="1" applyAlignment="1">
      <alignment horizontal="center" vertical="center"/>
    </xf>
    <xf numFmtId="0" fontId="21" fillId="0" borderId="0" xfId="0" applyFont="1"/>
    <xf numFmtId="0" fontId="22" fillId="0" borderId="1" xfId="0" applyFont="1" applyBorder="1" applyAlignment="1">
      <alignment horizontal="center" vertical="top"/>
    </xf>
    <xf numFmtId="0" fontId="23" fillId="0" borderId="1" xfId="0" applyFont="1" applyBorder="1" applyAlignment="1">
      <alignment horizontal="center" vertical="top" wrapText="1"/>
    </xf>
    <xf numFmtId="0" fontId="23" fillId="0" borderId="1" xfId="0" applyFont="1" applyBorder="1" applyAlignment="1">
      <alignment horizontal="left" vertical="top" wrapText="1"/>
    </xf>
    <xf numFmtId="0" fontId="24" fillId="4" borderId="0" xfId="0" applyFont="1" applyFill="1"/>
    <xf numFmtId="0" fontId="14" fillId="4" borderId="0" xfId="5" applyFont="1" applyFill="1" applyAlignment="1">
      <alignment horizontal="left" vertical="top" wrapText="1"/>
    </xf>
    <xf numFmtId="0" fontId="0" fillId="4" borderId="0" xfId="0" applyFill="1"/>
    <xf numFmtId="0" fontId="25" fillId="4" borderId="0" xfId="0" applyFont="1" applyFill="1"/>
    <xf numFmtId="0" fontId="19" fillId="4" borderId="0" xfId="0" applyFont="1" applyFill="1"/>
    <xf numFmtId="0" fontId="0" fillId="4" borderId="0" xfId="0" applyFill="1" applyAlignment="1">
      <alignment horizontal="center" vertical="center"/>
    </xf>
    <xf numFmtId="0" fontId="9" fillId="4" borderId="1" xfId="6" applyFont="1" applyFill="1" applyBorder="1" applyAlignment="1">
      <alignment vertical="center" wrapText="1"/>
    </xf>
    <xf numFmtId="0" fontId="9" fillId="4" borderId="1" xfId="6" applyFont="1" applyFill="1" applyBorder="1" applyAlignment="1">
      <alignment horizontal="center" vertical="center" wrapText="1"/>
    </xf>
    <xf numFmtId="0" fontId="9" fillId="4" borderId="1" xfId="6" quotePrefix="1" applyFont="1" applyFill="1" applyBorder="1" applyAlignment="1">
      <alignment horizontal="left" vertical="center" wrapText="1"/>
    </xf>
    <xf numFmtId="0" fontId="9" fillId="4" borderId="1" xfId="6" applyFont="1" applyFill="1" applyBorder="1" applyAlignment="1">
      <alignment horizontal="center" vertical="center"/>
    </xf>
    <xf numFmtId="0" fontId="0" fillId="4" borderId="1" xfId="0" applyFill="1" applyBorder="1" applyAlignment="1">
      <alignment horizontal="center" vertical="center"/>
    </xf>
    <xf numFmtId="0" fontId="11" fillId="4" borderId="1" xfId="0" applyFont="1" applyFill="1" applyBorder="1" applyAlignment="1">
      <alignment horizontal="left" vertical="center"/>
    </xf>
    <xf numFmtId="0" fontId="9" fillId="4" borderId="1" xfId="0" applyFont="1" applyFill="1" applyBorder="1" applyAlignment="1">
      <alignment horizontal="center" vertical="center" wrapText="1"/>
    </xf>
    <xf numFmtId="0" fontId="7" fillId="4" borderId="1" xfId="0" applyFont="1" applyFill="1" applyBorder="1"/>
    <xf numFmtId="0" fontId="0" fillId="4" borderId="1" xfId="0" applyFill="1" applyBorder="1"/>
    <xf numFmtId="0" fontId="5" fillId="4" borderId="1" xfId="1" applyFont="1" applyFill="1" applyBorder="1" applyAlignment="1">
      <alignment horizontal="center" vertical="center"/>
    </xf>
    <xf numFmtId="0" fontId="9" fillId="4" borderId="1"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21" fillId="0" borderId="0" xfId="0" applyFont="1" applyAlignment="1">
      <alignment horizontal="left" wrapText="1"/>
    </xf>
    <xf numFmtId="0" fontId="23" fillId="0" borderId="3" xfId="0" applyFont="1" applyBorder="1" applyAlignment="1">
      <alignment horizontal="left" vertical="top"/>
    </xf>
    <xf numFmtId="0" fontId="22" fillId="0" borderId="2" xfId="0" applyFont="1" applyBorder="1" applyAlignment="1">
      <alignment horizontal="center" vertical="top"/>
    </xf>
    <xf numFmtId="0" fontId="23" fillId="0" borderId="6" xfId="0" applyFont="1" applyBorder="1" applyAlignment="1">
      <alignment horizontal="left" vertical="top" wrapText="1"/>
    </xf>
    <xf numFmtId="0" fontId="23" fillId="0" borderId="7" xfId="0" applyFont="1" applyBorder="1" applyAlignment="1">
      <alignment horizontal="left" wrapText="1"/>
    </xf>
    <xf numFmtId="0" fontId="14" fillId="0" borderId="0" xfId="1" applyFont="1" applyBorder="1" applyAlignment="1">
      <alignment horizontal="left" vertical="top" wrapText="1"/>
    </xf>
    <xf numFmtId="0" fontId="15" fillId="0" borderId="0" xfId="0" applyFont="1" applyBorder="1" applyAlignment="1">
      <alignment horizontal="left" vertical="top" wrapText="1"/>
    </xf>
    <xf numFmtId="0" fontId="20" fillId="0" borderId="0" xfId="0" applyFont="1" applyAlignment="1">
      <alignment horizontal="center" vertical="center" wrapText="1"/>
    </xf>
    <xf numFmtId="0" fontId="21" fillId="0" borderId="0" xfId="0" applyFont="1" applyAlignment="1">
      <alignment horizontal="center" vertical="center"/>
    </xf>
    <xf numFmtId="0" fontId="13" fillId="0" borderId="0" xfId="5" applyFont="1" applyAlignment="1">
      <alignment horizontal="left" vertical="top" wrapText="1"/>
    </xf>
    <xf numFmtId="0" fontId="13" fillId="4" borderId="0" xfId="5" applyFont="1" applyFill="1" applyAlignment="1">
      <alignment horizontal="left" vertical="top" wrapText="1"/>
    </xf>
    <xf numFmtId="0" fontId="4" fillId="0" borderId="5" xfId="1" applyFont="1" applyFill="1" applyBorder="1" applyAlignment="1">
      <alignment horizontal="left" vertical="top" wrapText="1"/>
    </xf>
    <xf numFmtId="0" fontId="4" fillId="0" borderId="1" xfId="0" applyFont="1" applyFill="1" applyBorder="1" applyAlignment="1">
      <alignment horizontal="center" vertical="top" wrapText="1"/>
    </xf>
    <xf numFmtId="0" fontId="4" fillId="0" borderId="1" xfId="1" applyFont="1" applyFill="1" applyBorder="1" applyAlignment="1">
      <alignment horizontal="center" vertical="top" wrapText="1"/>
    </xf>
    <xf numFmtId="0" fontId="4" fillId="0" borderId="2" xfId="0" applyFont="1" applyFill="1" applyBorder="1" applyAlignment="1">
      <alignment horizontal="center" vertical="top" wrapText="1"/>
    </xf>
    <xf numFmtId="0" fontId="10" fillId="0" borderId="1" xfId="0" applyFont="1" applyFill="1" applyBorder="1" applyAlignment="1">
      <alignment horizontal="center" vertical="top" wrapText="1"/>
    </xf>
    <xf numFmtId="0" fontId="5"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0" xfId="0" applyFont="1" applyBorder="1" applyAlignment="1">
      <alignment horizontal="left"/>
    </xf>
    <xf numFmtId="0" fontId="4" fillId="3" borderId="1" xfId="0" applyFont="1" applyFill="1" applyBorder="1" applyAlignment="1">
      <alignment horizontal="center" vertical="top" wrapText="1"/>
    </xf>
    <xf numFmtId="0" fontId="4" fillId="3" borderId="1" xfId="1" applyFont="1" applyFill="1" applyBorder="1" applyAlignment="1">
      <alignment horizontal="center" vertical="top" wrapText="1"/>
    </xf>
    <xf numFmtId="0" fontId="10" fillId="3" borderId="1" xfId="0" applyFont="1" applyFill="1" applyBorder="1" applyAlignment="1">
      <alignment horizontal="center" vertical="top" wrapText="1"/>
    </xf>
    <xf numFmtId="0" fontId="4" fillId="0" borderId="1" xfId="0" applyFont="1" applyBorder="1" applyAlignment="1">
      <alignment horizontal="center" vertical="center" wrapText="1"/>
    </xf>
    <xf numFmtId="0" fontId="4" fillId="0" borderId="5" xfId="1" applyFont="1" applyBorder="1" applyAlignment="1">
      <alignment horizontal="left" vertical="center" wrapText="1"/>
    </xf>
    <xf numFmtId="0" fontId="4" fillId="0" borderId="1" xfId="1" applyFont="1" applyBorder="1" applyAlignment="1">
      <alignment horizontal="center" vertical="center" wrapText="1"/>
    </xf>
    <xf numFmtId="0" fontId="10" fillId="0" borderId="1" xfId="0" applyFont="1" applyBorder="1" applyAlignment="1">
      <alignment horizontal="center" vertical="center" wrapText="1"/>
    </xf>
    <xf numFmtId="0" fontId="3" fillId="0" borderId="0" xfId="1" applyFont="1" applyBorder="1" applyAlignment="1">
      <alignment horizontal="center" vertical="top" wrapText="1"/>
    </xf>
    <xf numFmtId="0" fontId="4" fillId="2" borderId="0" xfId="1" applyFont="1" applyFill="1" applyBorder="1" applyAlignment="1">
      <alignment horizontal="left" vertical="top" wrapText="1"/>
    </xf>
  </cellXfs>
  <cellStyles count="7">
    <cellStyle name="Explanatory Text" xfId="1" builtinId="53"/>
    <cellStyle name="Explanatory Text 2" xfId="4"/>
    <cellStyle name="Normal" xfId="0" builtinId="0"/>
    <cellStyle name="Normal 2" xfId="5"/>
    <cellStyle name="Normal 2 34" xfId="2"/>
    <cellStyle name="Normal 2 34 2" xfId="3"/>
    <cellStyle name="Normal 4"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330840</xdr:colOff>
      <xdr:row>1</xdr:row>
      <xdr:rowOff>107280</xdr:rowOff>
    </xdr:from>
    <xdr:to>
      <xdr:col>6</xdr:col>
      <xdr:colOff>371160</xdr:colOff>
      <xdr:row>39</xdr:row>
      <xdr:rowOff>141120</xdr:rowOff>
    </xdr:to>
    <xdr:pic>
      <xdr:nvPicPr>
        <xdr:cNvPr id="2" name="Picture 1"/>
        <xdr:cNvPicPr/>
      </xdr:nvPicPr>
      <xdr:blipFill>
        <a:blip xmlns:r="http://schemas.openxmlformats.org/officeDocument/2006/relationships" r:embed="rId1"/>
        <a:stretch>
          <a:fillRect/>
        </a:stretch>
      </xdr:blipFill>
      <xdr:spPr>
        <a:xfrm>
          <a:off x="1016635" y="392430"/>
          <a:ext cx="3469005" cy="7273290"/>
        </a:xfrm>
        <a:prstGeom prst="rect">
          <a:avLst/>
        </a:prstGeom>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742950</xdr:colOff>
      <xdr:row>1</xdr:row>
      <xdr:rowOff>180975</xdr:rowOff>
    </xdr:from>
    <xdr:to>
      <xdr:col>11</xdr:col>
      <xdr:colOff>514350</xdr:colOff>
      <xdr:row>10</xdr:row>
      <xdr:rowOff>34290</xdr:rowOff>
    </xdr:to>
    <xdr:pic>
      <xdr:nvPicPr>
        <xdr:cNvPr id="4" name="Picture 3" descr="F:\luonghv1\VDI\IBM_PYC\PBH\PYC_PBH\PBH_4_0\sizing\moohinh.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5825" y="390525"/>
          <a:ext cx="6858000" cy="4815840"/>
        </a:xfrm>
        <a:prstGeom prst="rect">
          <a:avLst/>
        </a:prstGeom>
        <a:noFill/>
        <a:ln>
          <a:noFill/>
        </a:ln>
      </xdr:spPr>
    </xdr:pic>
    <xdr:clientData/>
  </xdr:twoCellAnchor>
  <xdr:twoCellAnchor editAs="oneCell">
    <xdr:from>
      <xdr:col>1</xdr:col>
      <xdr:colOff>742950</xdr:colOff>
      <xdr:row>24</xdr:row>
      <xdr:rowOff>38100</xdr:rowOff>
    </xdr:from>
    <xdr:to>
      <xdr:col>10</xdr:col>
      <xdr:colOff>506095</xdr:colOff>
      <xdr:row>40</xdr:row>
      <xdr:rowOff>102870</xdr:rowOff>
    </xdr:to>
    <xdr:pic>
      <xdr:nvPicPr>
        <xdr:cNvPr id="5" name="image12.png"/>
        <xdr:cNvPicPr/>
      </xdr:nvPicPr>
      <xdr:blipFill>
        <a:blip xmlns:r="http://schemas.openxmlformats.org/officeDocument/2006/relationships" r:embed="rId2"/>
        <a:stretch>
          <a:fillRect/>
        </a:stretch>
      </xdr:blipFill>
      <xdr:spPr bwMode="auto">
        <a:xfrm>
          <a:off x="885825" y="7915275"/>
          <a:ext cx="5954395" cy="31127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
  <sheetViews>
    <sheetView workbookViewId="0">
      <selection activeCell="C11" sqref="C11"/>
    </sheetView>
  </sheetViews>
  <sheetFormatPr defaultColWidth="9" defaultRowHeight="15"/>
  <cols>
    <col min="1" max="1" width="4" style="52" customWidth="1"/>
    <col min="2" max="2" width="24" style="52" customWidth="1"/>
    <col min="3" max="3" width="101" style="52" customWidth="1"/>
    <col min="4" max="1025" width="9.140625" style="52" customWidth="1"/>
  </cols>
  <sheetData>
    <row r="1" spans="1:3" ht="13.5" customHeight="1">
      <c r="A1" s="104" t="s">
        <v>0</v>
      </c>
      <c r="B1" s="104"/>
      <c r="C1" s="104"/>
    </row>
    <row r="2" spans="1:3" ht="18" customHeight="1">
      <c r="A2" s="13" t="s">
        <v>1</v>
      </c>
      <c r="B2" s="13" t="s">
        <v>2</v>
      </c>
      <c r="C2" s="13" t="s">
        <v>3</v>
      </c>
    </row>
    <row r="3" spans="1:3" ht="89.25">
      <c r="A3" s="35">
        <v>1</v>
      </c>
      <c r="B3" s="54" t="s">
        <v>4</v>
      </c>
      <c r="C3" s="9" t="s">
        <v>5</v>
      </c>
    </row>
    <row r="4" spans="1:3" ht="127.5">
      <c r="A4" s="35">
        <v>2</v>
      </c>
      <c r="B4" s="54" t="s">
        <v>6</v>
      </c>
      <c r="C4" s="9" t="s">
        <v>7</v>
      </c>
    </row>
    <row r="5" spans="1:3">
      <c r="A5" s="35"/>
      <c r="B5" s="54"/>
      <c r="C5" s="9"/>
    </row>
  </sheetData>
  <mergeCells count="1">
    <mergeCell ref="A1:C1"/>
  </mergeCells>
  <pageMargins left="0.7" right="0.7" top="0.37986111111111098" bottom="0.75" header="0.51180555555555496" footer="0.51180555555555496"/>
  <pageSetup paperSize="9" firstPageNumber="0" orientation="landscape"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
  <sheetViews>
    <sheetView topLeftCell="A7" zoomScale="85" zoomScaleNormal="85" workbookViewId="0">
      <selection activeCell="K23" sqref="K23"/>
    </sheetView>
  </sheetViews>
  <sheetFormatPr defaultColWidth="9" defaultRowHeight="15"/>
  <cols>
    <col min="1" max="8" width="9" customWidth="1"/>
    <col min="9" max="9" width="14.85546875" customWidth="1"/>
    <col min="10" max="1025" width="9" customWidth="1"/>
  </cols>
  <sheetData>
    <row r="1" spans="1:18" s="53" customFormat="1" ht="22.5" customHeight="1">
      <c r="A1" s="104" t="s">
        <v>8</v>
      </c>
      <c r="B1" s="104"/>
      <c r="C1" s="104"/>
      <c r="E1" s="105"/>
      <c r="F1" s="105"/>
      <c r="G1" s="105"/>
      <c r="H1" s="105"/>
      <c r="I1" s="105"/>
      <c r="J1" s="105"/>
      <c r="K1" s="105"/>
      <c r="L1" s="105"/>
      <c r="M1" s="105"/>
      <c r="N1" s="105"/>
      <c r="O1" s="105"/>
      <c r="P1" s="105"/>
      <c r="Q1" s="105"/>
      <c r="R1" s="105"/>
    </row>
  </sheetData>
  <mergeCells count="2">
    <mergeCell ref="A1:C1"/>
    <mergeCell ref="E1:R1"/>
  </mergeCells>
  <pageMargins left="0.7" right="0.7" top="0.75" bottom="0.75" header="0.51180555555555496" footer="0.51180555555555496"/>
  <pageSetup paperSize="9" firstPageNumber="0" orientation="portrait" useFirstPageNumber="1"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K10"/>
  <sheetViews>
    <sheetView zoomScale="85" zoomScaleNormal="85" workbookViewId="0">
      <selection activeCell="C6" sqref="C6"/>
    </sheetView>
  </sheetViews>
  <sheetFormatPr defaultColWidth="9" defaultRowHeight="15"/>
  <cols>
    <col min="1" max="1" width="6.85546875" style="52" customWidth="1"/>
    <col min="2" max="2" width="34.42578125" style="52" customWidth="1"/>
    <col min="3" max="3" width="81.42578125" style="52" customWidth="1"/>
    <col min="4" max="1025" width="9.140625" style="52" customWidth="1"/>
  </cols>
  <sheetData>
    <row r="1" spans="1:4" ht="51" customHeight="1">
      <c r="A1" s="106" t="s">
        <v>108</v>
      </c>
      <c r="B1" s="107"/>
      <c r="C1" s="107"/>
      <c r="D1" s="77"/>
    </row>
    <row r="2" spans="1:4" ht="20.25" customHeight="1">
      <c r="A2" s="108" t="s">
        <v>109</v>
      </c>
      <c r="B2" s="108"/>
      <c r="C2" s="108"/>
      <c r="D2" s="77"/>
    </row>
    <row r="3" spans="1:4" ht="16.5" thickBot="1">
      <c r="A3" s="78" t="s">
        <v>1</v>
      </c>
      <c r="B3" s="78" t="s">
        <v>2</v>
      </c>
      <c r="C3" s="101" t="s">
        <v>96</v>
      </c>
      <c r="D3" s="77"/>
    </row>
    <row r="4" spans="1:4" ht="31.5" customHeight="1" thickBot="1">
      <c r="A4" s="79">
        <v>1</v>
      </c>
      <c r="B4" s="100" t="s">
        <v>4</v>
      </c>
      <c r="C4" s="103" t="s">
        <v>104</v>
      </c>
      <c r="D4" s="77"/>
    </row>
    <row r="5" spans="1:4" ht="15.75">
      <c r="A5" s="79">
        <v>2</v>
      </c>
      <c r="B5" s="80" t="s">
        <v>9</v>
      </c>
      <c r="C5" s="102"/>
      <c r="D5" s="77"/>
    </row>
    <row r="6" spans="1:4" ht="23.25" customHeight="1">
      <c r="A6" s="77"/>
      <c r="B6" s="77"/>
      <c r="C6" s="77"/>
      <c r="D6" s="77"/>
    </row>
    <row r="7" spans="1:4">
      <c r="A7" s="77"/>
      <c r="B7" s="77"/>
      <c r="C7" s="77"/>
      <c r="D7" s="77"/>
    </row>
    <row r="8" spans="1:4">
      <c r="A8" s="77"/>
      <c r="B8" s="77"/>
      <c r="C8" s="77"/>
      <c r="D8" s="77"/>
    </row>
    <row r="9" spans="1:4">
      <c r="A9" s="77"/>
      <c r="B9" s="77"/>
      <c r="C9" s="99"/>
      <c r="D9" s="77"/>
    </row>
    <row r="10" spans="1:4">
      <c r="A10" s="77"/>
      <c r="B10" s="77"/>
      <c r="C10" s="77"/>
      <c r="D10" s="77"/>
    </row>
  </sheetData>
  <mergeCells count="2">
    <mergeCell ref="A1:C1"/>
    <mergeCell ref="A2:C2"/>
  </mergeCells>
  <pageMargins left="0.7" right="0.7" top="0.32013888888888897" bottom="0.75" header="0.51180555555555496" footer="0.51180555555555496"/>
  <pageSetup firstPageNumber="0" fitToHeight="0" orientation="landscape" useFirstPageNumber="1"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24"/>
  <sheetViews>
    <sheetView topLeftCell="A19" workbookViewId="0">
      <selection activeCell="K36" sqref="K36"/>
    </sheetView>
  </sheetViews>
  <sheetFormatPr defaultColWidth="9" defaultRowHeight="15"/>
  <cols>
    <col min="1" max="1" width="2.140625" style="83" customWidth="1"/>
    <col min="2" max="2" width="20.85546875" style="83" customWidth="1"/>
    <col min="3" max="10" width="9" style="83"/>
    <col min="11" max="11" width="13.42578125" style="83" customWidth="1"/>
    <col min="12" max="12" width="12.42578125" style="83" customWidth="1"/>
    <col min="13" max="13" width="11.7109375" style="83" customWidth="1"/>
    <col min="14" max="16384" width="9" style="83"/>
  </cols>
  <sheetData>
    <row r="1" spans="1:23" ht="16.5">
      <c r="B1" s="109" t="s">
        <v>97</v>
      </c>
      <c r="C1" s="109"/>
      <c r="D1" s="109"/>
    </row>
    <row r="2" spans="1:23" s="81" customFormat="1" ht="15" customHeight="1">
      <c r="A2" s="109"/>
      <c r="B2" s="109"/>
      <c r="C2" s="109"/>
    </row>
    <row r="3" spans="1:23" ht="15" customHeight="1">
      <c r="A3" s="82"/>
      <c r="B3" s="82"/>
      <c r="C3" s="82"/>
      <c r="K3" s="84"/>
      <c r="L3" s="84"/>
      <c r="M3" s="84"/>
    </row>
    <row r="4" spans="1:23" ht="15" customHeight="1">
      <c r="A4" s="82"/>
      <c r="B4" s="82"/>
      <c r="C4" s="82"/>
    </row>
    <row r="6" spans="1:23" ht="270.95" customHeight="1">
      <c r="B6" s="85"/>
      <c r="W6" s="85"/>
    </row>
    <row r="23" spans="2:4" ht="16.5">
      <c r="B23" s="109" t="s">
        <v>100</v>
      </c>
      <c r="C23" s="109"/>
      <c r="D23" s="109"/>
    </row>
    <row r="24" spans="2:4" ht="16.5">
      <c r="B24" s="109"/>
      <c r="C24" s="109"/>
      <c r="D24" s="109"/>
    </row>
  </sheetData>
  <mergeCells count="4">
    <mergeCell ref="A2:C2"/>
    <mergeCell ref="B24:D24"/>
    <mergeCell ref="B1:D1"/>
    <mergeCell ref="B23:D23"/>
  </mergeCells>
  <pageMargins left="0.89027777777777795" right="0.7" top="0.359722222222222" bottom="0.75" header="0.51180555555555496" footer="0.51180555555555496"/>
  <pageSetup firstPageNumber="0" fitToHeight="0" orientation="landscape" useFirstPageNumber="1"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16"/>
  <sheetViews>
    <sheetView tabSelected="1" zoomScale="85" zoomScaleNormal="85" workbookViewId="0">
      <pane ySplit="3" topLeftCell="A4" activePane="bottomLeft" state="frozen"/>
      <selection pane="bottomLeft" activeCell="T5" sqref="T5"/>
    </sheetView>
  </sheetViews>
  <sheetFormatPr defaultColWidth="9" defaultRowHeight="15"/>
  <cols>
    <col min="1" max="1" width="4.7109375" customWidth="1"/>
    <col min="2" max="2" width="8.42578125" customWidth="1"/>
    <col min="3" max="3" width="16.140625" customWidth="1"/>
    <col min="4" max="4" width="21.28515625" customWidth="1"/>
    <col min="5" max="5" width="12.140625" style="50" customWidth="1"/>
    <col min="6" max="6" width="7" customWidth="1"/>
    <col min="7" max="7" width="5.28515625" customWidth="1"/>
    <col min="8" max="8" width="6.42578125" customWidth="1"/>
    <col min="9" max="9" width="6.85546875" customWidth="1"/>
    <col min="10" max="10" width="7.28515625" style="51" customWidth="1"/>
    <col min="11" max="11" width="11.5703125" style="51" customWidth="1"/>
    <col min="12" max="12" width="17.7109375" style="51" customWidth="1"/>
    <col min="13" max="13" width="26.7109375" style="51" customWidth="1"/>
    <col min="14" max="14" width="36.5703125" customWidth="1"/>
    <col min="15" max="15" width="8.5703125" customWidth="1"/>
    <col min="16" max="16" width="8.7109375" customWidth="1"/>
    <col min="17" max="18" width="9" customWidth="1"/>
    <col min="19" max="19" width="7.85546875" customWidth="1"/>
    <col min="20" max="20" width="35.7109375" customWidth="1"/>
    <col min="21" max="1016" width="9" customWidth="1"/>
  </cols>
  <sheetData>
    <row r="1" spans="1:20" ht="24" customHeight="1">
      <c r="A1" s="110" t="s">
        <v>10</v>
      </c>
      <c r="B1" s="110"/>
      <c r="C1" s="110"/>
      <c r="D1" s="110"/>
      <c r="E1" s="55"/>
      <c r="F1" s="56"/>
      <c r="G1" s="56"/>
      <c r="H1" s="56"/>
      <c r="I1" s="56"/>
      <c r="J1" s="57"/>
      <c r="K1" s="57"/>
      <c r="L1" s="57"/>
      <c r="M1" s="57"/>
      <c r="N1" s="56"/>
      <c r="O1" s="56"/>
      <c r="P1" s="56"/>
      <c r="Q1" s="56"/>
      <c r="R1" s="56"/>
      <c r="S1" s="56"/>
      <c r="T1" s="58"/>
    </row>
    <row r="2" spans="1:20" s="50" customFormat="1" ht="57" customHeight="1">
      <c r="A2" s="111" t="s">
        <v>1</v>
      </c>
      <c r="B2" s="111" t="s">
        <v>11</v>
      </c>
      <c r="C2" s="111" t="s">
        <v>12</v>
      </c>
      <c r="D2" s="111" t="s">
        <v>13</v>
      </c>
      <c r="E2" s="111" t="s">
        <v>14</v>
      </c>
      <c r="F2" s="111" t="s">
        <v>15</v>
      </c>
      <c r="G2" s="111" t="s">
        <v>16</v>
      </c>
      <c r="H2" s="111"/>
      <c r="I2" s="111"/>
      <c r="J2" s="114" t="s">
        <v>17</v>
      </c>
      <c r="K2" s="114" t="s">
        <v>18</v>
      </c>
      <c r="L2" s="114" t="s">
        <v>19</v>
      </c>
      <c r="M2" s="114" t="s">
        <v>20</v>
      </c>
      <c r="N2" s="114" t="s">
        <v>21</v>
      </c>
      <c r="O2" s="112" t="s">
        <v>22</v>
      </c>
      <c r="P2" s="112"/>
      <c r="Q2" s="112" t="s">
        <v>23</v>
      </c>
      <c r="R2" s="112"/>
      <c r="S2" s="112"/>
      <c r="T2" s="115" t="s">
        <v>24</v>
      </c>
    </row>
    <row r="3" spans="1:20" s="50" customFormat="1" ht="26.1" customHeight="1">
      <c r="A3" s="111"/>
      <c r="B3" s="113"/>
      <c r="C3" s="111"/>
      <c r="D3" s="111"/>
      <c r="E3" s="111"/>
      <c r="F3" s="111"/>
      <c r="G3" s="59" t="s">
        <v>25</v>
      </c>
      <c r="H3" s="59" t="s">
        <v>26</v>
      </c>
      <c r="I3" s="59" t="s">
        <v>27</v>
      </c>
      <c r="J3" s="114"/>
      <c r="K3" s="114"/>
      <c r="L3" s="114"/>
      <c r="M3" s="114"/>
      <c r="N3" s="114"/>
      <c r="O3" s="60" t="s">
        <v>28</v>
      </c>
      <c r="P3" s="60" t="s">
        <v>29</v>
      </c>
      <c r="Q3" s="60" t="s">
        <v>30</v>
      </c>
      <c r="R3" s="60" t="s">
        <v>31</v>
      </c>
      <c r="S3" s="60" t="s">
        <v>32</v>
      </c>
      <c r="T3" s="115"/>
    </row>
    <row r="4" spans="1:20" ht="104.25" customHeight="1">
      <c r="A4" s="68">
        <v>1</v>
      </c>
      <c r="B4" s="73" t="s">
        <v>107</v>
      </c>
      <c r="C4" s="70" t="s">
        <v>115</v>
      </c>
      <c r="D4" s="71" t="s">
        <v>98</v>
      </c>
      <c r="E4" s="70" t="s">
        <v>106</v>
      </c>
      <c r="F4" s="67">
        <v>12</v>
      </c>
      <c r="G4" s="69" t="s">
        <v>36</v>
      </c>
      <c r="H4" s="69" t="s">
        <v>95</v>
      </c>
      <c r="I4" s="69" t="s">
        <v>95</v>
      </c>
      <c r="J4" s="61" t="s">
        <v>105</v>
      </c>
      <c r="K4" s="61"/>
      <c r="L4" s="62" t="s">
        <v>112</v>
      </c>
      <c r="M4" s="62"/>
      <c r="N4" s="63"/>
      <c r="O4" s="64" t="s">
        <v>35</v>
      </c>
      <c r="P4" s="65" t="s">
        <v>36</v>
      </c>
      <c r="Q4" s="66" t="s">
        <v>37</v>
      </c>
      <c r="R4" s="66" t="s">
        <v>102</v>
      </c>
      <c r="S4" s="66" t="s">
        <v>38</v>
      </c>
      <c r="T4" s="71" t="s">
        <v>103</v>
      </c>
    </row>
    <row r="5" spans="1:20" s="83" customFormat="1" ht="89.25">
      <c r="A5" s="86">
        <v>2</v>
      </c>
      <c r="B5" s="87" t="s">
        <v>107</v>
      </c>
      <c r="C5" s="88" t="s">
        <v>110</v>
      </c>
      <c r="D5" s="89" t="s">
        <v>99</v>
      </c>
      <c r="E5" s="90" t="s">
        <v>114</v>
      </c>
      <c r="F5" s="91">
        <v>4</v>
      </c>
      <c r="G5" s="92" t="s">
        <v>36</v>
      </c>
      <c r="H5" s="92" t="s">
        <v>95</v>
      </c>
      <c r="I5" s="92" t="s">
        <v>95</v>
      </c>
      <c r="J5" s="93" t="s">
        <v>105</v>
      </c>
      <c r="K5" s="94"/>
      <c r="L5" s="87" t="s">
        <v>111</v>
      </c>
      <c r="M5" s="94"/>
      <c r="N5" s="95"/>
      <c r="O5" s="96" t="s">
        <v>35</v>
      </c>
      <c r="P5" s="97" t="s">
        <v>36</v>
      </c>
      <c r="Q5" s="98" t="s">
        <v>37</v>
      </c>
      <c r="R5" s="98" t="s">
        <v>101</v>
      </c>
      <c r="S5" s="98" t="s">
        <v>38</v>
      </c>
      <c r="T5" s="89" t="s">
        <v>116</v>
      </c>
    </row>
    <row r="16" spans="1:20">
      <c r="M16" s="51" t="s">
        <v>113</v>
      </c>
    </row>
  </sheetData>
  <mergeCells count="16">
    <mergeCell ref="T2:T3"/>
    <mergeCell ref="E2:E3"/>
    <mergeCell ref="F2:F3"/>
    <mergeCell ref="J2:J3"/>
    <mergeCell ref="K2:K3"/>
    <mergeCell ref="L2:L3"/>
    <mergeCell ref="A1:D1"/>
    <mergeCell ref="G2:I2"/>
    <mergeCell ref="O2:P2"/>
    <mergeCell ref="Q2:S2"/>
    <mergeCell ref="A2:A3"/>
    <mergeCell ref="B2:B3"/>
    <mergeCell ref="C2:C3"/>
    <mergeCell ref="D2:D3"/>
    <mergeCell ref="M2:M3"/>
    <mergeCell ref="N2:N3"/>
  </mergeCells>
  <pageMargins left="0.47986111111111102" right="0.37013888888888902" top="0.359722222222222" bottom="0.49027777777777798" header="0.51180555555555496" footer="0.51180555555555496"/>
  <pageSetup firstPageNumber="0" fitToWidth="0" orientation="landscape" useFirstPageNumber="1"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Views>
    <sheetView workbookViewId="0">
      <selection activeCell="J12" sqref="J12"/>
    </sheetView>
  </sheetViews>
  <sheetFormatPr defaultColWidth="9" defaultRowHeight="15"/>
  <cols>
    <col min="1" max="1" width="4.42578125" customWidth="1"/>
    <col min="2" max="2" width="9" customWidth="1"/>
    <col min="3" max="3" width="11.5703125" customWidth="1"/>
    <col min="4" max="4" width="16.42578125" customWidth="1"/>
    <col min="5" max="5" width="13.28515625" customWidth="1"/>
    <col min="6" max="6" width="6.5703125" customWidth="1"/>
    <col min="7" max="8" width="7.28515625" customWidth="1"/>
    <col min="9" max="9" width="7.42578125" customWidth="1"/>
    <col min="10" max="10" width="7.7109375" customWidth="1"/>
    <col min="11" max="11" width="8.140625" customWidth="1"/>
    <col min="12" max="12" width="22" customWidth="1"/>
    <col min="13" max="13" width="17.7109375" customWidth="1"/>
    <col min="14" max="14" width="11.7109375" customWidth="1"/>
    <col min="15" max="18" width="9" customWidth="1"/>
    <col min="19" max="19" width="11.5703125" customWidth="1"/>
    <col min="20" max="20" width="16.85546875" customWidth="1"/>
    <col min="21" max="1025" width="9" customWidth="1"/>
  </cols>
  <sheetData>
    <row r="1" spans="1:20">
      <c r="A1" s="117" t="s">
        <v>39</v>
      </c>
      <c r="B1" s="117"/>
      <c r="C1" s="117"/>
      <c r="D1" s="117"/>
      <c r="E1" s="117"/>
      <c r="F1" s="117"/>
      <c r="G1" s="117"/>
      <c r="H1" s="117"/>
      <c r="I1" s="117"/>
      <c r="J1" s="117"/>
      <c r="K1" s="117"/>
      <c r="L1" s="117"/>
      <c r="M1" s="117"/>
      <c r="N1" s="117"/>
      <c r="O1" s="117"/>
      <c r="P1" s="117"/>
      <c r="Q1" s="117"/>
      <c r="R1" s="117"/>
      <c r="S1" s="117"/>
    </row>
    <row r="2" spans="1:20" ht="15" customHeight="1">
      <c r="A2" s="118" t="s">
        <v>1</v>
      </c>
      <c r="B2" s="118" t="s">
        <v>11</v>
      </c>
      <c r="C2" s="118" t="s">
        <v>12</v>
      </c>
      <c r="D2" s="118" t="s">
        <v>13</v>
      </c>
      <c r="E2" s="118" t="s">
        <v>14</v>
      </c>
      <c r="F2" s="118" t="s">
        <v>15</v>
      </c>
      <c r="G2" s="118" t="s">
        <v>16</v>
      </c>
      <c r="H2" s="118"/>
      <c r="I2" s="118"/>
      <c r="J2" s="120" t="s">
        <v>17</v>
      </c>
      <c r="K2" s="120" t="s">
        <v>18</v>
      </c>
      <c r="L2" s="120" t="s">
        <v>19</v>
      </c>
      <c r="M2" s="120" t="s">
        <v>20</v>
      </c>
      <c r="N2" s="120" t="s">
        <v>21</v>
      </c>
      <c r="O2" s="119" t="s">
        <v>22</v>
      </c>
      <c r="P2" s="119"/>
      <c r="Q2" s="119" t="s">
        <v>23</v>
      </c>
      <c r="R2" s="119"/>
      <c r="S2" s="119"/>
      <c r="T2" s="116" t="s">
        <v>24</v>
      </c>
    </row>
    <row r="3" spans="1:20" ht="51">
      <c r="A3" s="118"/>
      <c r="B3" s="118"/>
      <c r="C3" s="118"/>
      <c r="D3" s="118"/>
      <c r="E3" s="118"/>
      <c r="F3" s="118"/>
      <c r="G3" s="48" t="s">
        <v>25</v>
      </c>
      <c r="H3" s="48" t="s">
        <v>26</v>
      </c>
      <c r="I3" s="48" t="s">
        <v>27</v>
      </c>
      <c r="J3" s="120"/>
      <c r="K3" s="120"/>
      <c r="L3" s="120"/>
      <c r="M3" s="120"/>
      <c r="N3" s="120"/>
      <c r="O3" s="49" t="s">
        <v>28</v>
      </c>
      <c r="P3" s="49" t="s">
        <v>29</v>
      </c>
      <c r="Q3" s="49" t="s">
        <v>30</v>
      </c>
      <c r="R3" s="49" t="s">
        <v>31</v>
      </c>
      <c r="S3" s="49" t="s">
        <v>32</v>
      </c>
      <c r="T3" s="116"/>
    </row>
    <row r="4" spans="1:20" ht="168" customHeight="1">
      <c r="A4" s="34">
        <v>1</v>
      </c>
      <c r="B4" s="73"/>
      <c r="C4" s="70"/>
      <c r="D4" s="71"/>
      <c r="E4" s="72"/>
      <c r="F4" s="76"/>
      <c r="G4" s="69"/>
      <c r="H4" s="69"/>
      <c r="I4" s="69"/>
      <c r="J4" s="61"/>
      <c r="K4" s="75"/>
      <c r="L4" s="73"/>
      <c r="M4" s="75"/>
      <c r="N4" s="74"/>
      <c r="O4" s="64"/>
      <c r="P4" s="65"/>
      <c r="Q4" s="66"/>
      <c r="R4" s="66"/>
      <c r="S4" s="66"/>
      <c r="T4" s="71"/>
    </row>
  </sheetData>
  <mergeCells count="16">
    <mergeCell ref="T2:T3"/>
    <mergeCell ref="A1:S1"/>
    <mergeCell ref="G2:I2"/>
    <mergeCell ref="O2:P2"/>
    <mergeCell ref="Q2:S2"/>
    <mergeCell ref="A2:A3"/>
    <mergeCell ref="B2:B3"/>
    <mergeCell ref="C2:C3"/>
    <mergeCell ref="D2:D3"/>
    <mergeCell ref="E2:E3"/>
    <mergeCell ref="F2:F3"/>
    <mergeCell ref="J2:J3"/>
    <mergeCell ref="K2:K3"/>
    <mergeCell ref="L2:L3"/>
    <mergeCell ref="M2:M3"/>
    <mergeCell ref="N2:N3"/>
  </mergeCells>
  <pageMargins left="0.75" right="0.75" top="1" bottom="1" header="0.51180555555555496" footer="0.51180555555555496"/>
  <pageSetup paperSize="9" firstPageNumber="0" orientation="portrait" useFirstPageNumber="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K4"/>
  <sheetViews>
    <sheetView zoomScale="85" zoomScaleNormal="85" workbookViewId="0">
      <selection activeCell="B4" sqref="B4"/>
    </sheetView>
  </sheetViews>
  <sheetFormatPr defaultColWidth="9" defaultRowHeight="15"/>
  <cols>
    <col min="1" max="1" width="4.7109375" style="30" customWidth="1"/>
    <col min="2" max="2" width="8.42578125" style="30" customWidth="1"/>
    <col min="3" max="3" width="7.85546875" style="30" customWidth="1"/>
    <col min="4" max="4" width="18.5703125" style="30" customWidth="1"/>
    <col min="5" max="5" width="11.42578125" style="31"/>
    <col min="6" max="6" width="7" style="30" customWidth="1"/>
    <col min="7" max="7" width="5.28515625" style="30" customWidth="1"/>
    <col min="8" max="8" width="6.7109375" style="30" customWidth="1"/>
    <col min="9" max="9" width="6.5703125" style="30" customWidth="1"/>
    <col min="10" max="10" width="7.28515625" style="32" customWidth="1"/>
    <col min="11" max="11" width="11" style="32" customWidth="1"/>
    <col min="12" max="12" width="13.28515625" style="32" customWidth="1"/>
    <col min="13" max="13" width="14.42578125" style="32" customWidth="1"/>
    <col min="14" max="14" width="19.42578125" style="30" customWidth="1"/>
    <col min="15" max="15" width="9.85546875" style="30" customWidth="1"/>
    <col min="16" max="16" width="8.7109375" style="30" customWidth="1"/>
    <col min="17" max="1025" width="9" style="30" customWidth="1"/>
  </cols>
  <sheetData>
    <row r="1" spans="1:20" ht="24" customHeight="1">
      <c r="A1" s="122" t="s">
        <v>40</v>
      </c>
      <c r="B1" s="122"/>
      <c r="C1" s="122"/>
      <c r="D1" s="122"/>
      <c r="E1" s="38"/>
      <c r="F1" s="39"/>
      <c r="G1" s="39"/>
      <c r="H1" s="39"/>
      <c r="I1" s="39"/>
      <c r="J1" s="41"/>
      <c r="K1" s="41"/>
      <c r="L1" s="41"/>
      <c r="M1" s="41"/>
      <c r="N1" s="39"/>
      <c r="O1" s="39"/>
      <c r="P1" s="39"/>
    </row>
    <row r="2" spans="1:20" s="29" customFormat="1" ht="57" customHeight="1">
      <c r="A2" s="121" t="s">
        <v>1</v>
      </c>
      <c r="B2" s="121" t="s">
        <v>11</v>
      </c>
      <c r="C2" s="121" t="s">
        <v>12</v>
      </c>
      <c r="D2" s="121" t="s">
        <v>13</v>
      </c>
      <c r="E2" s="121" t="s">
        <v>14</v>
      </c>
      <c r="F2" s="121" t="s">
        <v>15</v>
      </c>
      <c r="G2" s="121" t="s">
        <v>16</v>
      </c>
      <c r="H2" s="121"/>
      <c r="I2" s="121"/>
      <c r="J2" s="124" t="s">
        <v>17</v>
      </c>
      <c r="K2" s="124" t="s">
        <v>18</v>
      </c>
      <c r="L2" s="124" t="s">
        <v>19</v>
      </c>
      <c r="M2" s="124" t="s">
        <v>20</v>
      </c>
      <c r="N2" s="124" t="s">
        <v>21</v>
      </c>
      <c r="O2" s="123" t="s">
        <v>22</v>
      </c>
      <c r="P2" s="123"/>
      <c r="Q2" s="123" t="s">
        <v>23</v>
      </c>
      <c r="R2" s="123"/>
      <c r="S2" s="123"/>
      <c r="T2" s="121" t="s">
        <v>24</v>
      </c>
    </row>
    <row r="3" spans="1:20" s="29" customFormat="1" ht="59.25" customHeight="1">
      <c r="A3" s="121"/>
      <c r="B3" s="121"/>
      <c r="C3" s="121"/>
      <c r="D3" s="121"/>
      <c r="E3" s="121"/>
      <c r="F3" s="121"/>
      <c r="G3" s="33" t="s">
        <v>25</v>
      </c>
      <c r="H3" s="33" t="s">
        <v>26</v>
      </c>
      <c r="I3" s="33" t="s">
        <v>27</v>
      </c>
      <c r="J3" s="124"/>
      <c r="K3" s="124"/>
      <c r="L3" s="124"/>
      <c r="M3" s="124"/>
      <c r="N3" s="124"/>
      <c r="O3" s="44" t="s">
        <v>28</v>
      </c>
      <c r="P3" s="44" t="s">
        <v>29</v>
      </c>
      <c r="Q3" s="44" t="s">
        <v>30</v>
      </c>
      <c r="R3" s="44" t="s">
        <v>31</v>
      </c>
      <c r="S3" s="44" t="s">
        <v>32</v>
      </c>
      <c r="T3" s="121"/>
    </row>
    <row r="4" spans="1:20" ht="233.1" customHeight="1">
      <c r="A4" s="34">
        <v>1</v>
      </c>
      <c r="B4" s="35" t="s">
        <v>41</v>
      </c>
      <c r="C4" s="36" t="s">
        <v>42</v>
      </c>
      <c r="D4" s="37" t="s">
        <v>43</v>
      </c>
      <c r="E4" s="35" t="s">
        <v>44</v>
      </c>
      <c r="F4" s="34">
        <v>2</v>
      </c>
      <c r="G4" s="37">
        <v>2</v>
      </c>
      <c r="H4" s="40">
        <v>2</v>
      </c>
      <c r="I4" s="34">
        <v>0</v>
      </c>
      <c r="J4" s="42" t="s">
        <v>33</v>
      </c>
      <c r="K4" s="42" t="s">
        <v>45</v>
      </c>
      <c r="L4" s="43" t="s">
        <v>46</v>
      </c>
      <c r="M4" s="43" t="s">
        <v>34</v>
      </c>
      <c r="N4" s="43" t="s">
        <v>47</v>
      </c>
      <c r="O4" s="45" t="s">
        <v>35</v>
      </c>
      <c r="P4" s="46" t="s">
        <v>36</v>
      </c>
      <c r="Q4" s="47" t="s">
        <v>37</v>
      </c>
      <c r="R4" s="47" t="s">
        <v>38</v>
      </c>
      <c r="S4" s="47" t="s">
        <v>38</v>
      </c>
      <c r="T4" s="34"/>
    </row>
  </sheetData>
  <mergeCells count="16">
    <mergeCell ref="T2:T3"/>
    <mergeCell ref="A1:D1"/>
    <mergeCell ref="G2:I2"/>
    <mergeCell ref="O2:P2"/>
    <mergeCell ref="Q2:S2"/>
    <mergeCell ref="A2:A3"/>
    <mergeCell ref="B2:B3"/>
    <mergeCell ref="C2:C3"/>
    <mergeCell ref="D2:D3"/>
    <mergeCell ref="E2:E3"/>
    <mergeCell ref="F2:F3"/>
    <mergeCell ref="J2:J3"/>
    <mergeCell ref="K2:K3"/>
    <mergeCell ref="L2:L3"/>
    <mergeCell ref="M2:M3"/>
    <mergeCell ref="N2:N3"/>
  </mergeCells>
  <pageMargins left="0.25" right="0.25" top="0.75" bottom="0.75" header="0.51180555555555496" footer="0.51180555555555496"/>
  <pageSetup firstPageNumber="0" fitToHeight="0" orientation="landscape" useFirstPageNumber="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19"/>
  <sheetViews>
    <sheetView topLeftCell="A13" zoomScale="85" zoomScaleNormal="85" workbookViewId="0">
      <selection activeCell="I15" sqref="I15"/>
    </sheetView>
  </sheetViews>
  <sheetFormatPr defaultColWidth="9" defaultRowHeight="15"/>
  <cols>
    <col min="1" max="1" width="4.42578125" style="2" customWidth="1"/>
    <col min="2" max="2" width="23.7109375" style="3" customWidth="1"/>
    <col min="3" max="3" width="32.7109375" style="3" customWidth="1"/>
    <col min="4" max="4" width="27.42578125" style="3" customWidth="1"/>
    <col min="5" max="5" width="10" style="3" customWidth="1"/>
    <col min="6" max="7" width="14.85546875" style="3" customWidth="1"/>
    <col min="8" max="8" width="28.7109375" style="3" customWidth="1"/>
    <col min="9" max="9" width="36.5703125" style="4" customWidth="1"/>
    <col min="10" max="10" width="36.5703125" style="3" customWidth="1"/>
    <col min="11" max="1025" width="9" customWidth="1"/>
  </cols>
  <sheetData>
    <row r="1" spans="1:66" ht="39.950000000000003" customHeight="1">
      <c r="A1" s="125" t="s">
        <v>48</v>
      </c>
      <c r="B1" s="125"/>
      <c r="C1" s="125"/>
      <c r="D1" s="125"/>
      <c r="E1" s="125"/>
      <c r="F1" s="125"/>
      <c r="G1" s="125"/>
      <c r="H1" s="125"/>
      <c r="I1" s="125"/>
      <c r="J1" s="125"/>
    </row>
    <row r="2" spans="1:66" ht="15" customHeight="1">
      <c r="A2" s="5" t="s">
        <v>49</v>
      </c>
      <c r="B2" s="126" t="s">
        <v>50</v>
      </c>
      <c r="C2" s="126"/>
      <c r="D2" s="126"/>
      <c r="E2" s="16"/>
      <c r="F2" s="16"/>
      <c r="G2" s="16"/>
      <c r="H2" s="16"/>
      <c r="I2" s="16"/>
      <c r="J2" s="26"/>
    </row>
    <row r="3" spans="1:66" s="1" customFormat="1" ht="25.5">
      <c r="A3" s="6" t="s">
        <v>1</v>
      </c>
      <c r="B3" s="6" t="s">
        <v>51</v>
      </c>
      <c r="C3" s="6" t="s">
        <v>13</v>
      </c>
      <c r="D3" s="6" t="s">
        <v>52</v>
      </c>
      <c r="E3" s="17" t="s">
        <v>53</v>
      </c>
      <c r="F3" s="6" t="s">
        <v>24</v>
      </c>
      <c r="G3" s="18"/>
      <c r="H3" s="19"/>
      <c r="I3" s="19"/>
      <c r="J3" s="18"/>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8"/>
    </row>
    <row r="4" spans="1:66" s="1" customFormat="1" ht="25.5">
      <c r="A4" s="7">
        <f>ROW()-3</f>
        <v>1</v>
      </c>
      <c r="B4" s="8" t="s">
        <v>54</v>
      </c>
      <c r="C4" s="9" t="s">
        <v>55</v>
      </c>
      <c r="D4" s="10">
        <v>3</v>
      </c>
      <c r="E4" s="20" t="s">
        <v>56</v>
      </c>
      <c r="F4" s="21" t="s">
        <v>57</v>
      </c>
      <c r="G4" s="22"/>
      <c r="H4" s="19"/>
      <c r="I4" s="19"/>
      <c r="J4" s="18"/>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8"/>
    </row>
    <row r="5" spans="1:66" s="1" customFormat="1" ht="38.25">
      <c r="A5" s="7">
        <v>2</v>
      </c>
      <c r="B5" s="8" t="s">
        <v>58</v>
      </c>
      <c r="C5" s="9" t="s">
        <v>59</v>
      </c>
      <c r="D5" s="10">
        <v>3</v>
      </c>
      <c r="E5" s="20" t="s">
        <v>56</v>
      </c>
      <c r="F5" s="21" t="s">
        <v>57</v>
      </c>
      <c r="G5" s="22"/>
      <c r="H5" s="19"/>
      <c r="I5" s="19"/>
      <c r="J5" s="18"/>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8"/>
    </row>
    <row r="6" spans="1:66" s="1" customFormat="1" ht="30" customHeight="1">
      <c r="A6" s="7">
        <f>ROW()-3</f>
        <v>3</v>
      </c>
      <c r="B6" s="11" t="s">
        <v>60</v>
      </c>
      <c r="C6" s="9" t="s">
        <v>61</v>
      </c>
      <c r="D6" s="10">
        <v>4</v>
      </c>
      <c r="E6" s="20" t="s">
        <v>56</v>
      </c>
      <c r="F6" s="21" t="s">
        <v>62</v>
      </c>
      <c r="G6" s="22"/>
      <c r="H6" s="19"/>
      <c r="I6" s="19"/>
      <c r="J6" s="18"/>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8"/>
    </row>
    <row r="7" spans="1:66" s="1" customFormat="1" ht="25.5">
      <c r="A7" s="7">
        <f>ROW()-3</f>
        <v>4</v>
      </c>
      <c r="B7" s="11" t="s">
        <v>63</v>
      </c>
      <c r="C7" s="9" t="s">
        <v>64</v>
      </c>
      <c r="D7" s="10">
        <v>3</v>
      </c>
      <c r="E7" s="20" t="s">
        <v>56</v>
      </c>
      <c r="F7" s="21" t="s">
        <v>62</v>
      </c>
      <c r="G7" s="22"/>
      <c r="H7" s="19"/>
      <c r="I7" s="19"/>
      <c r="J7" s="18"/>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8"/>
    </row>
    <row r="8" spans="1:66" s="1" customFormat="1" ht="25.5">
      <c r="A8" s="7">
        <v>5</v>
      </c>
      <c r="B8" s="11" t="s">
        <v>65</v>
      </c>
      <c r="C8" s="9" t="s">
        <v>66</v>
      </c>
      <c r="D8" s="10">
        <v>3</v>
      </c>
      <c r="E8" s="23"/>
      <c r="F8" s="12"/>
      <c r="G8" s="19"/>
      <c r="H8" s="19"/>
      <c r="I8" s="19"/>
      <c r="J8" s="18"/>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8"/>
    </row>
    <row r="9" spans="1:66" s="1" customFormat="1" ht="25.5">
      <c r="A9" s="7">
        <f>ROW()-3</f>
        <v>6</v>
      </c>
      <c r="B9" s="11" t="s">
        <v>67</v>
      </c>
      <c r="C9" s="9" t="s">
        <v>68</v>
      </c>
      <c r="D9" s="10">
        <v>3</v>
      </c>
      <c r="E9" s="23"/>
      <c r="F9" s="12"/>
      <c r="G9" s="19"/>
      <c r="H9" s="19"/>
      <c r="I9" s="19"/>
      <c r="J9" s="18"/>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8"/>
    </row>
    <row r="10" spans="1:66" s="1" customFormat="1">
      <c r="A10" s="6"/>
      <c r="B10" s="12"/>
      <c r="C10" s="12"/>
      <c r="D10" s="12"/>
      <c r="E10" s="23"/>
      <c r="F10" s="12"/>
      <c r="G10" s="19"/>
      <c r="H10" s="19"/>
      <c r="I10" s="19"/>
      <c r="J10" s="18"/>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8"/>
    </row>
    <row r="11" spans="1:66" ht="15" customHeight="1">
      <c r="A11" s="5" t="s">
        <v>69</v>
      </c>
      <c r="B11" s="126" t="s">
        <v>70</v>
      </c>
      <c r="C11" s="126"/>
      <c r="D11" s="126"/>
      <c r="E11" s="126"/>
      <c r="F11" s="126"/>
      <c r="G11" s="126"/>
      <c r="H11" s="126"/>
      <c r="I11" s="126"/>
      <c r="J11" s="26"/>
    </row>
    <row r="12" spans="1:66" ht="27.95" customHeight="1">
      <c r="A12" s="13" t="s">
        <v>1</v>
      </c>
      <c r="B12" s="14" t="s">
        <v>71</v>
      </c>
      <c r="C12" s="14" t="s">
        <v>12</v>
      </c>
      <c r="D12" s="14" t="s">
        <v>14</v>
      </c>
      <c r="E12" s="14" t="s">
        <v>18</v>
      </c>
      <c r="F12" s="24" t="s">
        <v>17</v>
      </c>
      <c r="G12" s="24" t="s">
        <v>72</v>
      </c>
      <c r="H12" s="14" t="s">
        <v>19</v>
      </c>
      <c r="I12" s="14" t="s">
        <v>20</v>
      </c>
      <c r="J12" s="14" t="s">
        <v>21</v>
      </c>
    </row>
    <row r="13" spans="1:66" ht="84" customHeight="1">
      <c r="A13" s="8">
        <v>1</v>
      </c>
      <c r="B13" s="15" t="s">
        <v>73</v>
      </c>
      <c r="C13" s="15" t="s">
        <v>54</v>
      </c>
      <c r="D13" s="10" t="s">
        <v>74</v>
      </c>
      <c r="E13" s="10" t="s">
        <v>75</v>
      </c>
      <c r="F13" s="10" t="s">
        <v>76</v>
      </c>
      <c r="G13" s="21" t="s">
        <v>57</v>
      </c>
      <c r="H13" s="25" t="s">
        <v>77</v>
      </c>
      <c r="I13" s="15" t="s">
        <v>34</v>
      </c>
      <c r="J13" s="9" t="s">
        <v>78</v>
      </c>
    </row>
    <row r="14" spans="1:66" ht="93" customHeight="1">
      <c r="A14" s="8">
        <v>2</v>
      </c>
      <c r="B14" s="15" t="s">
        <v>73</v>
      </c>
      <c r="C14" s="15" t="s">
        <v>79</v>
      </c>
      <c r="D14" s="10" t="s">
        <v>80</v>
      </c>
      <c r="E14" s="10" t="s">
        <v>75</v>
      </c>
      <c r="F14" s="10" t="s">
        <v>76</v>
      </c>
      <c r="G14" s="21" t="s">
        <v>57</v>
      </c>
      <c r="H14" s="25" t="s">
        <v>81</v>
      </c>
      <c r="I14" s="15" t="s">
        <v>82</v>
      </c>
      <c r="J14" s="9" t="s">
        <v>78</v>
      </c>
    </row>
    <row r="15" spans="1:66" ht="102">
      <c r="A15" s="8">
        <v>3</v>
      </c>
      <c r="B15" s="15" t="s">
        <v>73</v>
      </c>
      <c r="C15" s="10" t="s">
        <v>60</v>
      </c>
      <c r="D15" s="10" t="s">
        <v>83</v>
      </c>
      <c r="E15" s="10" t="s">
        <v>75</v>
      </c>
      <c r="F15" s="10" t="s">
        <v>76</v>
      </c>
      <c r="G15" s="21" t="s">
        <v>62</v>
      </c>
      <c r="H15" s="25" t="s">
        <v>84</v>
      </c>
      <c r="I15" s="15" t="s">
        <v>85</v>
      </c>
      <c r="J15" s="9" t="s">
        <v>78</v>
      </c>
    </row>
    <row r="16" spans="1:66" ht="84.75" customHeight="1">
      <c r="A16" s="8">
        <v>4</v>
      </c>
      <c r="B16" s="15" t="s">
        <v>73</v>
      </c>
      <c r="C16" s="10" t="s">
        <v>63</v>
      </c>
      <c r="D16" s="10" t="s">
        <v>86</v>
      </c>
      <c r="E16" s="10" t="s">
        <v>75</v>
      </c>
      <c r="F16" s="10" t="s">
        <v>76</v>
      </c>
      <c r="G16" s="21" t="s">
        <v>62</v>
      </c>
      <c r="H16" s="25" t="s">
        <v>87</v>
      </c>
      <c r="I16" s="15" t="s">
        <v>34</v>
      </c>
      <c r="J16" s="9" t="s">
        <v>78</v>
      </c>
    </row>
    <row r="17" spans="1:10" ht="192" customHeight="1">
      <c r="A17" s="8">
        <v>5</v>
      </c>
      <c r="B17" s="15" t="s">
        <v>73</v>
      </c>
      <c r="C17" s="10" t="s">
        <v>88</v>
      </c>
      <c r="D17" s="10" t="s">
        <v>89</v>
      </c>
      <c r="E17" s="10" t="s">
        <v>75</v>
      </c>
      <c r="F17" s="10" t="s">
        <v>76</v>
      </c>
      <c r="G17" s="10"/>
      <c r="H17" s="9" t="s">
        <v>90</v>
      </c>
      <c r="I17" s="9" t="s">
        <v>91</v>
      </c>
      <c r="J17" s="9" t="s">
        <v>78</v>
      </c>
    </row>
    <row r="18" spans="1:10" ht="102">
      <c r="A18" s="8">
        <v>6</v>
      </c>
      <c r="B18" s="15" t="s">
        <v>73</v>
      </c>
      <c r="C18" s="10" t="s">
        <v>67</v>
      </c>
      <c r="D18" s="10" t="s">
        <v>92</v>
      </c>
      <c r="E18" s="10" t="s">
        <v>75</v>
      </c>
      <c r="F18" s="10" t="s">
        <v>76</v>
      </c>
      <c r="G18" s="15"/>
      <c r="H18" s="25" t="s">
        <v>93</v>
      </c>
      <c r="I18" s="10" t="s">
        <v>94</v>
      </c>
      <c r="J18" s="9" t="s">
        <v>78</v>
      </c>
    </row>
    <row r="19" spans="1:10" ht="64.5" customHeight="1">
      <c r="A19" s="11"/>
      <c r="B19" s="10"/>
      <c r="C19" s="10"/>
      <c r="D19" s="10"/>
      <c r="E19" s="10"/>
      <c r="F19" s="10"/>
      <c r="G19" s="10"/>
      <c r="H19" s="9"/>
      <c r="I19" s="10"/>
      <c r="J19" s="9"/>
    </row>
  </sheetData>
  <mergeCells count="3">
    <mergeCell ref="A1:J1"/>
    <mergeCell ref="B2:D2"/>
    <mergeCell ref="B11:I11"/>
  </mergeCells>
  <pageMargins left="0.7" right="0.51180555555555496" top="0.359722222222222" bottom="0.47222222222222199" header="0.51180555555555496" footer="0.51180555555555496"/>
  <pageSetup scale="65" firstPageNumber="0" orientation="landscape" useFirstPageNumber="1"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Mô hình</vt:lpstr>
      <vt:lpstr>Index_</vt:lpstr>
      <vt:lpstr>Mo hinh</vt:lpstr>
      <vt:lpstr>server ảo hóa</vt:lpstr>
      <vt:lpstr>server vật lý</vt:lpstr>
      <vt:lpstr>Server ao hoa</vt:lpstr>
      <vt:lpstr>Cài đặt server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datpt6</dc:creator>
  <cp:lastModifiedBy>khanhnd23</cp:lastModifiedBy>
  <cp:revision>3</cp:revision>
  <cp:lastPrinted>2020-11-15T01:27:00Z</cp:lastPrinted>
  <dcterms:created xsi:type="dcterms:W3CDTF">2017-07-04T07:19:00Z</dcterms:created>
  <dcterms:modified xsi:type="dcterms:W3CDTF">2024-09-05T03:23:38Z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1033-11.1.0.10161</vt:lpwstr>
  </property>
</Properties>
</file>